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ecture of Master's Study\Semester II\Data analysis in business\"/>
    </mc:Choice>
  </mc:AlternateContent>
  <xr:revisionPtr revIDLastSave="0" documentId="13_ncr:1_{9B0EF0B3-5039-4134-89C8-72BA3CC9C20A}" xr6:coauthVersionLast="47" xr6:coauthVersionMax="47" xr10:uidLastSave="{00000000-0000-0000-0000-000000000000}"/>
  <bookViews>
    <workbookView xWindow="-110" yWindow="-110" windowWidth="19420" windowHeight="11020" xr2:uid="{7F596699-9E6A-4C08-8BBF-013FC20767A2}"/>
  </bookViews>
  <sheets>
    <sheet name="Sheet" sheetId="2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1" i="2" l="1"/>
  <c r="K63" i="2"/>
  <c r="K49" i="2"/>
</calcChain>
</file>

<file path=xl/sharedStrings.xml><?xml version="1.0" encoding="utf-8"?>
<sst xmlns="http://schemas.openxmlformats.org/spreadsheetml/2006/main" count="385" uniqueCount="176">
  <si>
    <t>computer</t>
  </si>
  <si>
    <t>income</t>
  </si>
  <si>
    <t>price</t>
  </si>
  <si>
    <t>student</t>
  </si>
  <si>
    <t>BUY</t>
  </si>
  <si>
    <t>good</t>
  </si>
  <si>
    <t>no</t>
  </si>
  <si>
    <t>medium</t>
  </si>
  <si>
    <t>poor</t>
  </si>
  <si>
    <t>yes</t>
  </si>
  <si>
    <t>ITERATION 1:</t>
  </si>
  <si>
    <t>Split</t>
  </si>
  <si>
    <t>Left Subtree</t>
  </si>
  <si>
    <t>Right Subtree</t>
  </si>
  <si>
    <t xml:space="preserve">computer = good </t>
  </si>
  <si>
    <t>computer = medium</t>
  </si>
  <si>
    <t>computer = poor</t>
  </si>
  <si>
    <t>student = TRUE</t>
  </si>
  <si>
    <t>student = FALSE</t>
  </si>
  <si>
    <t>Categorical features: computer, student, BUY</t>
  </si>
  <si>
    <t>Numerical features: income and price</t>
  </si>
  <si>
    <t>We have 8 records with 4 features and 1 target (BUY)</t>
  </si>
  <si>
    <t>Split 1</t>
  </si>
  <si>
    <t>computer ∈ {medium, poor}</t>
  </si>
  <si>
    <t>computer ∈ {good, poor}</t>
  </si>
  <si>
    <t>computer ∈ {good, medium}</t>
  </si>
  <si>
    <t>computer ∈{medium, poor}</t>
  </si>
  <si>
    <t>gini(S1) = 1 - (2/3)^2 - (1/3)^2 = 0.444</t>
  </si>
  <si>
    <t>S1 = {1, 4, 7}</t>
  </si>
  <si>
    <t>S2 = {2, 3, 5, 6, 8}</t>
  </si>
  <si>
    <t>gini(S2) = 1 - (2/5)^2 - (3/5)^2 = 0.48</t>
  </si>
  <si>
    <t>ginisplit(S1, S2) = 3/8 * 0.444 + 5/8 * 0.48 = 0.4665</t>
  </si>
  <si>
    <t>Split 2</t>
  </si>
  <si>
    <t>S1 = {2, 5, 8}</t>
  </si>
  <si>
    <t>S1 = {1, 3, 4, 6, 7}</t>
  </si>
  <si>
    <t>Split 3</t>
  </si>
  <si>
    <t>Split 4</t>
  </si>
  <si>
    <t>S1 = {3, 6}</t>
  </si>
  <si>
    <t>S1 = {1, 2, 4, 5, 7, 8}</t>
  </si>
  <si>
    <t>gini(S1) = 1 - (1/3)^2 - (2/3)^2 = 0.444</t>
  </si>
  <si>
    <t>gini(S2) = 1 - (3/5)^2 - (2/5)^2 =0.48</t>
  </si>
  <si>
    <t>gini(S1) = 1 - (1/2)^2 - (1/2)^2 = 0.5</t>
  </si>
  <si>
    <t>gini(S2) = 1 - (3/6)^2 - (3/6)^2 =0.5</t>
  </si>
  <si>
    <t>ginisplit(S1, S2) = 2/8 * 0.5 + 6/8 * 0.5 = 0.5</t>
  </si>
  <si>
    <t>S1 = {2, 6, 7}</t>
  </si>
  <si>
    <t>S1 = {1, 3, 4, 5, 8}</t>
  </si>
  <si>
    <t>split 5</t>
  </si>
  <si>
    <t>490, 500, 640, 657, 700, 720, 800, 8968</t>
  </si>
  <si>
    <t>We can sort income values from smaller to higher:</t>
  </si>
  <si>
    <t>S1 = {1, 3, 7}</t>
  </si>
  <si>
    <t>S1 = {1, 3}</t>
  </si>
  <si>
    <t>S1 = {2, 4, 5, 6, 7, 8}</t>
  </si>
  <si>
    <t>gini(S2) = 1 - (3/6)^2 - (3/6)^2 = 0.5</t>
  </si>
  <si>
    <t>Income &lt;= 710</t>
  </si>
  <si>
    <t>Income &gt; 500</t>
  </si>
  <si>
    <t>Income &gt; 710</t>
  </si>
  <si>
    <t>gini(S2) = 1 - (1/4)^2 - (3/4)^2 = 0.375</t>
  </si>
  <si>
    <t>-- Try split at 550 (Between 500 and 640)</t>
  </si>
  <si>
    <t>-- Try split at 710 (Between 700 and 720)</t>
  </si>
  <si>
    <t>-- Try split at 645 (Between 640 and 657)</t>
  </si>
  <si>
    <t>Income &lt;= 645</t>
  </si>
  <si>
    <t>Income &gt; 645</t>
  </si>
  <si>
    <t>S2 = {2, 4, 5, 6, 8}</t>
  </si>
  <si>
    <t>S1 = {1, 3,7}</t>
  </si>
  <si>
    <t>ginisplit(S1, S2) = 4/8 * 0.375 + 4/8 * 0.375 = 0.375</t>
  </si>
  <si>
    <t>split 6</t>
  </si>
  <si>
    <t>We can sort price values</t>
  </si>
  <si>
    <t>650, 700, 850, 900, 950, 1000, 8000, 9006</t>
  </si>
  <si>
    <t>-- Try split at  775 (between 700 and 850)</t>
  </si>
  <si>
    <t>Income &lt;= 550</t>
  </si>
  <si>
    <t>S1 = {6, 7}</t>
  </si>
  <si>
    <t>price &lt;= 775</t>
  </si>
  <si>
    <t>price &gt; 775</t>
  </si>
  <si>
    <t>S1 = {1, 2, 3, 4, 5, 8}</t>
  </si>
  <si>
    <t>-- Try split at 925 (between 900 and 950)</t>
  </si>
  <si>
    <t>price &lt;= 925</t>
  </si>
  <si>
    <t>price &gt; 925</t>
  </si>
  <si>
    <t>Weighted Gini = 0.375</t>
  </si>
  <si>
    <t>gini(S1) = 1 - (1/1)^2 - (0/1)^2 = 0</t>
  </si>
  <si>
    <t>ginisplit(S1, S2) = 1/4 * 0 + 3/4 * 0.444 = 0.333</t>
  </si>
  <si>
    <t>gini(S2) = 1 - (2/3)^2 - (1/3)^2 = 0.444</t>
  </si>
  <si>
    <t>Let’s pick student = TRUE for simplicity.</t>
  </si>
  <si>
    <t>Weighted Gini = 0.333 (This is the best split)</t>
  </si>
  <si>
    <t>ITERATION 2 (LEFT SUBTREE):</t>
  </si>
  <si>
    <t>S2 = {2, 5, 8}</t>
  </si>
  <si>
    <t>gini(S1) = 1 - (3/5)^2 - (2/5)^2 = 0.48</t>
  </si>
  <si>
    <t>gini(S2) = 1 - (1/3)^2 - (2/3)^2 = 0.444</t>
  </si>
  <si>
    <t>ginisplit(S1, S2) = 3/8 * 0.375 + 5/8 * 0.444 = 0.4665</t>
  </si>
  <si>
    <t>S1 = {1, 2, 6, 7}</t>
  </si>
  <si>
    <t>S1 = {3, 4, 5, 8}</t>
  </si>
  <si>
    <t>gini(S1) = 1 - (1/4)^2 - (3/4)^2 = 0.375</t>
  </si>
  <si>
    <t>gini(S2) = 1 - (3/4)^2 - (1/4)^2 = 0,375</t>
  </si>
  <si>
    <t>S1 = {1, 2, 3, 6, 7, 8}</t>
  </si>
  <si>
    <t>S1 = {4, 5}</t>
  </si>
  <si>
    <t>-- Try split at 4250 (between 1000 and 9000)</t>
  </si>
  <si>
    <t>price &lt;= 4250</t>
  </si>
  <si>
    <t>price &gt; 425</t>
  </si>
  <si>
    <t>gini(S2) = 1 - (2/2)^2 - (0/2)^2 = 0</t>
  </si>
  <si>
    <t>gini(S1) = 1 - (2/6)^2 - (4/6)^2 = 0.444</t>
  </si>
  <si>
    <t>ginisplit(S1, S2) = 6/8 * 0.444 + 2/8 * 0 = 0.333</t>
  </si>
  <si>
    <t>Best split:</t>
  </si>
  <si>
    <t>S1 = {1, 2, 3, 6, 7, 8} -&gt; 2 yes, 4 no</t>
  </si>
  <si>
    <t>S1 = {4, 5} -&gt; 2 yes</t>
  </si>
  <si>
    <t>S1 = {1, 7}</t>
  </si>
  <si>
    <t>∈</t>
  </si>
  <si>
    <t>{medium,</t>
  </si>
  <si>
    <t>poor}</t>
  </si>
  <si>
    <t>S2 = {2, 3, 6, 8}</t>
  </si>
  <si>
    <t>ginisplit(S1, S2) = 2/4 * 0.5 + 4/4 * 0.375 = 0.444</t>
  </si>
  <si>
    <t>S2 = {1, 3, 8}</t>
  </si>
  <si>
    <t>gini(S1) = 0.444</t>
  </si>
  <si>
    <t>gini(S2) = 0.444</t>
  </si>
  <si>
    <t>ginisplit(S1, S2) = 0.444</t>
  </si>
  <si>
    <t>-- Try split at 775</t>
  </si>
  <si>
    <t>Price &lt;= 775</t>
  </si>
  <si>
    <t>Price &gt; 775</t>
  </si>
  <si>
    <t>S2 = {1, 2, 3, 8}</t>
  </si>
  <si>
    <t>-- Try split a 645</t>
  </si>
  <si>
    <t>S2 = {2, 6, 8}</t>
  </si>
  <si>
    <t>gini(S2) = 0</t>
  </si>
  <si>
    <t>ginisplit(S1, S2) = 0.222</t>
  </si>
  <si>
    <t>Income&gt; 645</t>
  </si>
  <si>
    <t>S1 = {1, 3, 7} -&gt; 2 yes, 1 no</t>
  </si>
  <si>
    <t>S2 = {2, 6, 8} -&gt; 3 no</t>
  </si>
  <si>
    <t>price &gt; 4250</t>
  </si>
  <si>
    <t>-- Try split at 975 (between 900 and 950)</t>
  </si>
  <si>
    <t>price &lt;= 975</t>
  </si>
  <si>
    <t>price &gt; 975</t>
  </si>
  <si>
    <t>S1 = {1, 2, 6, 7, 8}</t>
  </si>
  <si>
    <t>S1 = {3, 4, 5}</t>
  </si>
  <si>
    <t>gini(S1) = 1 - (1/5)^2 - (4/5)^2 = 0.32</t>
  </si>
  <si>
    <t>gini(S2) = 1 - (4/4)^2 - (0/4)^2 = 0</t>
  </si>
  <si>
    <t>ginisplit(S1, S2) = 5/8 * 0.32 + 3/8 * 0 = 0.375</t>
  </si>
  <si>
    <r>
      <t>1. IF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price &gt; 4250</t>
    </r>
  </si>
  <si>
    <r>
      <t xml:space="preserve">→ </t>
    </r>
    <r>
      <rPr>
        <sz val="8"/>
        <color theme="1"/>
        <rFont val="Calibri"/>
        <family val="2"/>
        <scheme val="minor"/>
      </rPr>
      <t>THEN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BUY = yes</t>
    </r>
  </si>
  <si>
    <r>
      <t>2. IF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price ≤ 4250</t>
    </r>
    <r>
      <rPr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AND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income &gt; 645</t>
    </r>
  </si>
  <si>
    <r>
      <t xml:space="preserve">→ </t>
    </r>
    <r>
      <rPr>
        <sz val="8"/>
        <color theme="1"/>
        <rFont val="Calibri"/>
        <family val="2"/>
        <scheme val="minor"/>
      </rPr>
      <t>THEN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BUY = no</t>
    </r>
  </si>
  <si>
    <r>
      <t>3. IF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price ≤ 4250</t>
    </r>
    <r>
      <rPr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AND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income ≤ 645</t>
    </r>
    <r>
      <rPr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AND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computer = poor</t>
    </r>
  </si>
  <si>
    <r>
      <t>4. IF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price ≤ 4250</t>
    </r>
    <r>
      <rPr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AND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income ≤ 645</t>
    </r>
    <r>
      <rPr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AND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computer = good</t>
    </r>
    <r>
      <rPr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AND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student = TRUE</t>
    </r>
  </si>
  <si>
    <r>
      <t>5. IF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price ≤ 4250</t>
    </r>
    <r>
      <rPr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AND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income ≤ 645</t>
    </r>
    <r>
      <rPr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AND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computer = good</t>
    </r>
    <r>
      <rPr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AND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student = FALSE</t>
    </r>
  </si>
  <si>
    <r>
      <t xml:space="preserve">In the subset where </t>
    </r>
    <r>
      <rPr>
        <sz val="10"/>
        <color theme="1"/>
        <rFont val="Calibri"/>
        <family val="2"/>
        <scheme val="minor"/>
      </rPr>
      <t>price ≤ 4250</t>
    </r>
    <r>
      <rPr>
        <sz val="8"/>
        <color theme="1"/>
        <rFont val="Calibri"/>
        <family val="2"/>
        <scheme val="minor"/>
      </rPr>
      <t xml:space="preserve"> and </t>
    </r>
    <r>
      <rPr>
        <sz val="10"/>
        <color theme="1"/>
        <rFont val="Calibri"/>
        <family val="2"/>
        <scheme val="minor"/>
      </rPr>
      <t>income ≤ 645</t>
    </r>
    <r>
      <rPr>
        <sz val="8"/>
        <color theme="1"/>
        <rFont val="Calibri"/>
        <family val="2"/>
        <scheme val="minor"/>
      </rPr>
      <t xml:space="preserve">, only IDs </t>
    </r>
    <r>
      <rPr>
        <sz val="8"/>
        <color theme="1"/>
        <rFont val="Calibri"/>
        <family val="2"/>
        <scheme val="minor"/>
      </rPr>
      <t>1,3,7</t>
    </r>
    <r>
      <rPr>
        <sz val="8"/>
        <color theme="1"/>
        <rFont val="Calibri"/>
        <family val="2"/>
        <scheme val="minor"/>
      </rPr>
      <t xml:space="preserve"> remain — and none have </t>
    </r>
    <r>
      <rPr>
        <sz val="10"/>
        <color theme="1"/>
        <rFont val="Calibri"/>
        <family val="2"/>
        <scheme val="minor"/>
      </rPr>
      <t>computer = medium</t>
    </r>
    <r>
      <rPr>
        <sz val="8"/>
        <color theme="1"/>
        <rFont val="Calibri"/>
        <family val="2"/>
        <scheme val="minor"/>
      </rPr>
      <t>.</t>
    </r>
  </si>
  <si>
    <r>
      <t>Medium-computer records (IDs 2,5,8) are all in other branches (</t>
    </r>
    <r>
      <rPr>
        <sz val="10"/>
        <color theme="1"/>
        <rFont val="Calibri"/>
        <family val="2"/>
        <scheme val="minor"/>
      </rPr>
      <t>income &gt; 645</t>
    </r>
    <r>
      <rPr>
        <sz val="8"/>
        <color theme="1"/>
        <rFont val="Calibri"/>
        <family val="2"/>
        <scheme val="minor"/>
      </rPr>
      <t xml:space="preserve"> or </t>
    </r>
    <r>
      <rPr>
        <sz val="10"/>
        <color theme="1"/>
        <rFont val="Calibri"/>
        <family val="2"/>
        <scheme val="minor"/>
      </rPr>
      <t>price &gt; 4250</t>
    </r>
    <r>
      <rPr>
        <sz val="8"/>
        <color theme="1"/>
        <rFont val="Calibri"/>
        <family val="2"/>
        <scheme val="minor"/>
      </rPr>
      <t>).</t>
    </r>
  </si>
  <si>
    <t>Decision Tree</t>
  </si>
  <si>
    <t>Decision Rules</t>
  </si>
  <si>
    <t>----Output----</t>
  </si>
  <si>
    <r>
      <t xml:space="preserve">Each path from root to leaf gives one </t>
    </r>
    <r>
      <rPr>
        <sz val="11"/>
        <color theme="1"/>
        <rFont val="Calibri"/>
        <family val="2"/>
        <scheme val="minor"/>
      </rPr>
      <t>IF-THEN rule</t>
    </r>
    <r>
      <rPr>
        <sz val="11"/>
        <color theme="1"/>
        <rFont val="Calibri"/>
        <family val="2"/>
        <scheme val="minor"/>
      </rPr>
      <t>:</t>
    </r>
  </si>
  <si>
    <t>Aspect</t>
  </si>
  <si>
    <t>Algorithm</t>
  </si>
  <si>
    <t>CART (Gini)</t>
  </si>
  <si>
    <t>First Split</t>
  </si>
  <si>
    <t>Second Split</t>
  </si>
  <si>
    <t>Tree Depth</t>
  </si>
  <si>
    <t>3 levels</t>
  </si>
  <si>
    <t>3–4 levels (depends on tie-breaks)</t>
  </si>
  <si>
    <t>Accuracy</t>
  </si>
  <si>
    <t>100% (all records classified correctly)</t>
  </si>
  <si>
    <t>100%</t>
  </si>
  <si>
    <t>Efficiency</t>
  </si>
  <si>
    <t>Time-consuming, error-prone</t>
  </si>
  <si>
    <t>Fast, automated</t>
  </si>
  <si>
    <t>Visualization</t>
  </si>
  <si>
    <t>Drawn manually (Word/Excel/Paper)</t>
  </si>
  <si>
    <t>Auto-generated plot</t>
  </si>
  <si>
    <t>Manual Calculation (Excel)</t>
  </si>
  <si>
    <t>Python Implementation (Automatic)</t>
  </si>
  <si>
    <t>gini(S1)=0.444, gini(S2)=0</t>
  </si>
  <si>
    <t>splitgini=0.333</t>
  </si>
  <si>
    <t>splitgini=0.222</t>
  </si>
  <si>
    <t>`income &lt;= 645`, S1 = {1, 3, 7},  S2 = {2, 6, 8}</t>
  </si>
  <si>
    <t>`price &lt;= 4250`, S1 = {1, 2, 3, 6, 7, 8}, S2 = {4, 5}</t>
  </si>
  <si>
    <t>gini(S1)=0, gini(S2)=0</t>
  </si>
  <si>
    <t>splitgini=0</t>
  </si>
  <si>
    <t>`price &lt;= 675`, S1={7}, S2={1, 2, 6, 8}</t>
  </si>
  <si>
    <t>`price &lt;= 975`, S1 = {1, 2, 6, 7, 8},  S2 = {3, 4, 5}</t>
  </si>
  <si>
    <t>gini(S1)=0.32, gini(S2)=0</t>
  </si>
  <si>
    <t>splitgini=0.2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</si>
</sst>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quotePrefix="1"/>
    <xf numFmtId="20" fontId="1" fillId="0" borderId="0" xfId="0" applyNumberFormat="1" applyFont="1"/>
    <xf numFmtId="0" fontId="1" fillId="0" borderId="0" xfId="0" quotePrefix="1" applyFont="1"/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2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  <xf numFmtId="0" fontId="8" fillId="0" borderId="1" xfId="0" applyFont="1" applyBorder="1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29</xdr:row>
      <xdr:rowOff>88900</xdr:rowOff>
    </xdr:from>
    <xdr:to>
      <xdr:col>2</xdr:col>
      <xdr:colOff>431800</xdr:colOff>
      <xdr:row>31</xdr:row>
      <xdr:rowOff>93167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D7B269-49D2-4382-A266-F6868F993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0" y="5613400"/>
          <a:ext cx="1162050" cy="372567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33</xdr:row>
      <xdr:rowOff>132856</xdr:rowOff>
    </xdr:from>
    <xdr:to>
      <xdr:col>4</xdr:col>
      <xdr:colOff>564909</xdr:colOff>
      <xdr:row>35</xdr:row>
      <xdr:rowOff>149677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CC813B-658B-477C-BA8C-1442577C5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300" y="6393956"/>
          <a:ext cx="3022359" cy="385121"/>
        </a:xfrm>
        <a:prstGeom prst="rect">
          <a:avLst/>
        </a:prstGeom>
      </xdr:spPr>
    </xdr:pic>
    <xdr:clientData/>
  </xdr:twoCellAnchor>
  <xdr:twoCellAnchor editAs="oneCell">
    <xdr:from>
      <xdr:col>9</xdr:col>
      <xdr:colOff>603250</xdr:colOff>
      <xdr:row>191</xdr:row>
      <xdr:rowOff>25400</xdr:rowOff>
    </xdr:from>
    <xdr:to>
      <xdr:col>16</xdr:col>
      <xdr:colOff>362157</xdr:colOff>
      <xdr:row>208</xdr:row>
      <xdr:rowOff>101765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762E1E-6D0E-9271-CBAB-D9F852371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31000" y="35312350"/>
          <a:ext cx="4026107" cy="3206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E0A3-C958-4B83-B029-C6B5665B14C6}">
  <dimension ref="A1:M215"/>
  <sheetViews>
    <sheetView showGridLines="0" tabSelected="1" workbookViewId="0"/>
  </sheetViews>
  <sheetFormatPr defaultRowHeight="14.5" x14ac:dyDescent="0.35"/>
  <cols>
    <col min="2" max="2" width="17.90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35">
      <c r="A2" s="3" t="s">
        <v>5</v>
      </c>
      <c r="B2" s="3">
        <v>500</v>
      </c>
      <c r="C2" s="3">
        <v>850</v>
      </c>
      <c r="D2" s="3" t="b">
        <v>0</v>
      </c>
      <c r="E2" s="3" t="s">
        <v>6</v>
      </c>
      <c r="F2">
        <v>1</v>
      </c>
    </row>
    <row r="3" spans="1:6" x14ac:dyDescent="0.35">
      <c r="A3" s="3" t="s">
        <v>7</v>
      </c>
      <c r="B3" s="3">
        <v>800</v>
      </c>
      <c r="C3" s="3">
        <v>900</v>
      </c>
      <c r="D3" s="3" t="b">
        <v>1</v>
      </c>
      <c r="E3" s="3" t="s">
        <v>6</v>
      </c>
      <c r="F3">
        <v>2</v>
      </c>
    </row>
    <row r="4" spans="1:6" x14ac:dyDescent="0.35">
      <c r="A4" s="3" t="s">
        <v>8</v>
      </c>
      <c r="B4" s="3">
        <v>490</v>
      </c>
      <c r="C4" s="3">
        <v>1000</v>
      </c>
      <c r="D4" s="3" t="b">
        <v>0</v>
      </c>
      <c r="E4" s="3" t="s">
        <v>9</v>
      </c>
      <c r="F4">
        <v>3</v>
      </c>
    </row>
    <row r="5" spans="1:6" x14ac:dyDescent="0.35">
      <c r="A5" s="3" t="s">
        <v>5</v>
      </c>
      <c r="B5" s="3">
        <v>700</v>
      </c>
      <c r="C5" s="3">
        <v>9006</v>
      </c>
      <c r="D5" s="3" t="b">
        <v>0</v>
      </c>
      <c r="E5" s="3" t="s">
        <v>9</v>
      </c>
      <c r="F5">
        <v>4</v>
      </c>
    </row>
    <row r="6" spans="1:6" x14ac:dyDescent="0.35">
      <c r="A6" s="3" t="s">
        <v>7</v>
      </c>
      <c r="B6" s="3">
        <v>8968</v>
      </c>
      <c r="C6" s="3">
        <v>8000</v>
      </c>
      <c r="D6" s="3" t="b">
        <v>0</v>
      </c>
      <c r="E6" s="3" t="s">
        <v>9</v>
      </c>
      <c r="F6">
        <v>5</v>
      </c>
    </row>
    <row r="7" spans="1:6" x14ac:dyDescent="0.35">
      <c r="A7" s="3" t="s">
        <v>8</v>
      </c>
      <c r="B7" s="3">
        <v>657</v>
      </c>
      <c r="C7" s="3">
        <v>700</v>
      </c>
      <c r="D7" s="3" t="b">
        <v>1</v>
      </c>
      <c r="E7" s="3" t="s">
        <v>6</v>
      </c>
      <c r="F7">
        <v>6</v>
      </c>
    </row>
    <row r="8" spans="1:6" x14ac:dyDescent="0.35">
      <c r="A8" s="3" t="s">
        <v>5</v>
      </c>
      <c r="B8" s="3">
        <v>640</v>
      </c>
      <c r="C8" s="3">
        <v>650</v>
      </c>
      <c r="D8" s="3" t="b">
        <v>1</v>
      </c>
      <c r="E8" s="3" t="s">
        <v>9</v>
      </c>
      <c r="F8">
        <v>7</v>
      </c>
    </row>
    <row r="9" spans="1:6" x14ac:dyDescent="0.35">
      <c r="A9" s="3" t="s">
        <v>7</v>
      </c>
      <c r="B9" s="3">
        <v>720</v>
      </c>
      <c r="C9" s="3">
        <v>950</v>
      </c>
      <c r="D9" s="3" t="b">
        <v>0</v>
      </c>
      <c r="E9" s="3" t="s">
        <v>6</v>
      </c>
      <c r="F9">
        <v>8</v>
      </c>
    </row>
    <row r="11" spans="1:6" x14ac:dyDescent="0.35">
      <c r="A11" t="s">
        <v>21</v>
      </c>
    </row>
    <row r="13" spans="1:6" x14ac:dyDescent="0.35">
      <c r="A13" t="s">
        <v>19</v>
      </c>
    </row>
    <row r="14" spans="1:6" x14ac:dyDescent="0.35">
      <c r="A14" s="1" t="s">
        <v>11</v>
      </c>
      <c r="B14" s="1" t="s">
        <v>12</v>
      </c>
      <c r="C14" s="1" t="s">
        <v>13</v>
      </c>
    </row>
    <row r="15" spans="1:6" x14ac:dyDescent="0.35">
      <c r="A15">
        <v>1</v>
      </c>
      <c r="B15" t="s">
        <v>14</v>
      </c>
      <c r="C15" t="s">
        <v>23</v>
      </c>
    </row>
    <row r="16" spans="1:6" x14ac:dyDescent="0.35">
      <c r="A16">
        <v>2</v>
      </c>
      <c r="B16" t="s">
        <v>15</v>
      </c>
      <c r="C16" t="s">
        <v>24</v>
      </c>
    </row>
    <row r="17" spans="1:11" x14ac:dyDescent="0.35">
      <c r="A17">
        <v>3</v>
      </c>
      <c r="B17" t="s">
        <v>16</v>
      </c>
      <c r="C17" t="s">
        <v>25</v>
      </c>
    </row>
    <row r="18" spans="1:11" x14ac:dyDescent="0.35">
      <c r="A18">
        <v>4</v>
      </c>
      <c r="B18" t="s">
        <v>17</v>
      </c>
      <c r="C18" t="s">
        <v>18</v>
      </c>
    </row>
    <row r="20" spans="1:11" x14ac:dyDescent="0.35">
      <c r="A20" t="s">
        <v>20</v>
      </c>
    </row>
    <row r="23" spans="1:11" x14ac:dyDescent="0.35">
      <c r="A23" s="1" t="s">
        <v>10</v>
      </c>
    </row>
    <row r="24" spans="1:11" x14ac:dyDescent="0.35">
      <c r="A24" s="6" t="s">
        <v>22</v>
      </c>
      <c r="B24" t="s">
        <v>14</v>
      </c>
      <c r="H24" t="s">
        <v>26</v>
      </c>
    </row>
    <row r="25" spans="1:11" x14ac:dyDescent="0.35">
      <c r="A25" s="1"/>
      <c r="B25" t="s">
        <v>28</v>
      </c>
      <c r="H25" t="s">
        <v>29</v>
      </c>
    </row>
    <row r="26" spans="1:11" x14ac:dyDescent="0.35">
      <c r="A26" s="1"/>
      <c r="B26" s="2" t="s">
        <v>0</v>
      </c>
      <c r="C26" s="2" t="s">
        <v>1</v>
      </c>
      <c r="D26" s="2" t="s">
        <v>2</v>
      </c>
      <c r="E26" s="2" t="s">
        <v>3</v>
      </c>
      <c r="F26" s="2" t="s">
        <v>4</v>
      </c>
      <c r="H26" s="2" t="s">
        <v>0</v>
      </c>
      <c r="I26" s="2" t="s">
        <v>2</v>
      </c>
      <c r="J26" s="2" t="s">
        <v>3</v>
      </c>
      <c r="K26" s="2" t="s">
        <v>4</v>
      </c>
    </row>
    <row r="27" spans="1:11" x14ac:dyDescent="0.35">
      <c r="A27" s="1"/>
      <c r="B27" s="3" t="s">
        <v>5</v>
      </c>
      <c r="C27" s="3">
        <v>500</v>
      </c>
      <c r="D27" s="3">
        <v>850</v>
      </c>
      <c r="E27" s="3" t="b">
        <v>0</v>
      </c>
      <c r="F27" s="3" t="s">
        <v>6</v>
      </c>
      <c r="H27" s="3" t="s">
        <v>7</v>
      </c>
      <c r="I27" s="3">
        <v>900</v>
      </c>
      <c r="J27" s="3" t="b">
        <v>1</v>
      </c>
      <c r="K27" s="3" t="s">
        <v>6</v>
      </c>
    </row>
    <row r="28" spans="1:11" x14ac:dyDescent="0.35">
      <c r="A28" s="1"/>
      <c r="B28" s="3" t="s">
        <v>5</v>
      </c>
      <c r="C28" s="3">
        <v>700</v>
      </c>
      <c r="D28" s="3">
        <v>9006</v>
      </c>
      <c r="E28" s="3" t="b">
        <v>0</v>
      </c>
      <c r="F28" s="3" t="s">
        <v>9</v>
      </c>
      <c r="H28" s="3" t="s">
        <v>8</v>
      </c>
      <c r="I28" s="3">
        <v>1000</v>
      </c>
      <c r="J28" s="3" t="b">
        <v>0</v>
      </c>
      <c r="K28" s="3" t="s">
        <v>9</v>
      </c>
    </row>
    <row r="29" spans="1:11" x14ac:dyDescent="0.35">
      <c r="A29" s="1"/>
      <c r="B29" s="3" t="s">
        <v>5</v>
      </c>
      <c r="C29" s="3">
        <v>640</v>
      </c>
      <c r="D29" s="3">
        <v>650</v>
      </c>
      <c r="E29" s="3" t="b">
        <v>1</v>
      </c>
      <c r="F29" s="3" t="s">
        <v>9</v>
      </c>
      <c r="H29" s="3" t="s">
        <v>7</v>
      </c>
      <c r="I29" s="3">
        <v>8000</v>
      </c>
      <c r="J29" s="3" t="b">
        <v>0</v>
      </c>
      <c r="K29" s="3" t="s">
        <v>9</v>
      </c>
    </row>
    <row r="30" spans="1:11" x14ac:dyDescent="0.35">
      <c r="A30" s="1"/>
      <c r="H30" s="3" t="s">
        <v>8</v>
      </c>
      <c r="I30" s="3">
        <v>700</v>
      </c>
      <c r="J30" s="3" t="b">
        <v>1</v>
      </c>
      <c r="K30" s="3" t="s">
        <v>6</v>
      </c>
    </row>
    <row r="31" spans="1:11" x14ac:dyDescent="0.35">
      <c r="A31" s="1"/>
      <c r="H31" s="3" t="s">
        <v>7</v>
      </c>
      <c r="I31" s="3">
        <v>950</v>
      </c>
      <c r="J31" s="3" t="b">
        <v>0</v>
      </c>
      <c r="K31" s="3" t="s">
        <v>6</v>
      </c>
    </row>
    <row r="32" spans="1:11" x14ac:dyDescent="0.35">
      <c r="A32" s="1"/>
    </row>
    <row r="33" spans="1:13" x14ac:dyDescent="0.35">
      <c r="A33" s="1"/>
      <c r="B33" t="s">
        <v>27</v>
      </c>
      <c r="H33" t="s">
        <v>30</v>
      </c>
    </row>
    <row r="34" spans="1:13" x14ac:dyDescent="0.35">
      <c r="A34" s="1"/>
    </row>
    <row r="35" spans="1:13" x14ac:dyDescent="0.35">
      <c r="A35" s="1"/>
    </row>
    <row r="36" spans="1:13" x14ac:dyDescent="0.35">
      <c r="A36" s="1"/>
    </row>
    <row r="37" spans="1:13" x14ac:dyDescent="0.35">
      <c r="A37" s="1"/>
      <c r="B37" t="s">
        <v>31</v>
      </c>
    </row>
    <row r="38" spans="1:13" x14ac:dyDescent="0.35">
      <c r="A38" s="1"/>
    </row>
    <row r="39" spans="1:13" x14ac:dyDescent="0.35">
      <c r="A39" s="1"/>
    </row>
    <row r="40" spans="1:13" x14ac:dyDescent="0.35">
      <c r="A40" s="1" t="s">
        <v>32</v>
      </c>
      <c r="B40" t="s">
        <v>15</v>
      </c>
      <c r="H40" t="s">
        <v>24</v>
      </c>
    </row>
    <row r="41" spans="1:13" x14ac:dyDescent="0.35">
      <c r="A41" s="1"/>
      <c r="B41" t="s">
        <v>33</v>
      </c>
      <c r="H41" t="s">
        <v>34</v>
      </c>
    </row>
    <row r="42" spans="1:13" x14ac:dyDescent="0.35">
      <c r="A42" s="1"/>
      <c r="B42" s="2" t="s">
        <v>0</v>
      </c>
      <c r="C42" s="2" t="s">
        <v>1</v>
      </c>
      <c r="D42" s="2" t="s">
        <v>2</v>
      </c>
      <c r="E42" s="2" t="s">
        <v>3</v>
      </c>
      <c r="F42" s="2" t="s">
        <v>4</v>
      </c>
      <c r="H42" s="2" t="s">
        <v>0</v>
      </c>
      <c r="I42" s="2" t="s">
        <v>1</v>
      </c>
      <c r="J42" s="2" t="s">
        <v>2</v>
      </c>
      <c r="K42" s="2" t="s">
        <v>3</v>
      </c>
      <c r="L42" s="2" t="s">
        <v>4</v>
      </c>
    </row>
    <row r="43" spans="1:13" x14ac:dyDescent="0.35">
      <c r="A43" s="1"/>
      <c r="B43" s="3" t="s">
        <v>7</v>
      </c>
      <c r="C43" s="3">
        <v>800</v>
      </c>
      <c r="D43" s="3">
        <v>900</v>
      </c>
      <c r="E43" s="3" t="b">
        <v>1</v>
      </c>
      <c r="F43" s="3" t="s">
        <v>6</v>
      </c>
      <c r="G43">
        <v>2</v>
      </c>
      <c r="H43" s="3" t="s">
        <v>5</v>
      </c>
      <c r="I43" s="3">
        <v>500</v>
      </c>
      <c r="J43" s="3">
        <v>850</v>
      </c>
      <c r="K43" s="3" t="b">
        <v>0</v>
      </c>
      <c r="L43" s="3" t="s">
        <v>6</v>
      </c>
      <c r="M43">
        <v>1</v>
      </c>
    </row>
    <row r="44" spans="1:13" x14ac:dyDescent="0.35">
      <c r="A44" s="1"/>
      <c r="B44" s="3" t="s">
        <v>7</v>
      </c>
      <c r="C44" s="3">
        <v>8968</v>
      </c>
      <c r="D44" s="3">
        <v>8000</v>
      </c>
      <c r="E44" s="3" t="b">
        <v>0</v>
      </c>
      <c r="F44" s="3" t="s">
        <v>9</v>
      </c>
      <c r="G44">
        <v>5</v>
      </c>
      <c r="H44" s="3" t="s">
        <v>8</v>
      </c>
      <c r="I44" s="3">
        <v>490</v>
      </c>
      <c r="J44" s="3">
        <v>1000</v>
      </c>
      <c r="K44" s="3" t="b">
        <v>0</v>
      </c>
      <c r="L44" s="3" t="s">
        <v>9</v>
      </c>
      <c r="M44">
        <v>3</v>
      </c>
    </row>
    <row r="45" spans="1:13" x14ac:dyDescent="0.35">
      <c r="A45" s="1"/>
      <c r="B45" s="3" t="s">
        <v>7</v>
      </c>
      <c r="C45" s="3">
        <v>720</v>
      </c>
      <c r="D45" s="3">
        <v>950</v>
      </c>
      <c r="E45" s="3" t="b">
        <v>0</v>
      </c>
      <c r="F45" s="3" t="s">
        <v>6</v>
      </c>
      <c r="G45">
        <v>8</v>
      </c>
      <c r="H45" s="3" t="s">
        <v>5</v>
      </c>
      <c r="I45" s="3">
        <v>700</v>
      </c>
      <c r="J45" s="3">
        <v>9006</v>
      </c>
      <c r="K45" s="3" t="b">
        <v>0</v>
      </c>
      <c r="L45" s="3" t="s">
        <v>9</v>
      </c>
      <c r="M45">
        <v>4</v>
      </c>
    </row>
    <row r="46" spans="1:13" x14ac:dyDescent="0.35">
      <c r="A46" s="1"/>
      <c r="H46" s="3" t="s">
        <v>8</v>
      </c>
      <c r="I46" s="3">
        <v>657</v>
      </c>
      <c r="J46" s="3">
        <v>700</v>
      </c>
      <c r="K46" s="3" t="b">
        <v>1</v>
      </c>
      <c r="L46" s="3" t="s">
        <v>6</v>
      </c>
      <c r="M46">
        <v>6</v>
      </c>
    </row>
    <row r="47" spans="1:13" x14ac:dyDescent="0.35">
      <c r="A47" s="1"/>
      <c r="H47" s="3" t="s">
        <v>5</v>
      </c>
      <c r="I47" s="3">
        <v>640</v>
      </c>
      <c r="J47" s="3">
        <v>650</v>
      </c>
      <c r="K47" s="3" t="b">
        <v>1</v>
      </c>
      <c r="L47" s="3" t="s">
        <v>9</v>
      </c>
      <c r="M47">
        <v>7</v>
      </c>
    </row>
    <row r="48" spans="1:13" x14ac:dyDescent="0.35">
      <c r="A48" s="1"/>
    </row>
    <row r="49" spans="1:13" x14ac:dyDescent="0.35">
      <c r="A49" s="1"/>
      <c r="B49" t="s">
        <v>39</v>
      </c>
      <c r="H49" t="s">
        <v>40</v>
      </c>
      <c r="K49" s="4">
        <f xml:space="preserve"> 1 - (3/5)^2 - (2/5)^2</f>
        <v>0.48</v>
      </c>
    </row>
    <row r="50" spans="1:13" x14ac:dyDescent="0.35">
      <c r="A50" s="1"/>
      <c r="B50" t="s">
        <v>31</v>
      </c>
    </row>
    <row r="51" spans="1:13" x14ac:dyDescent="0.35">
      <c r="A51" s="1"/>
    </row>
    <row r="52" spans="1:13" x14ac:dyDescent="0.35">
      <c r="A52" s="1"/>
    </row>
    <row r="53" spans="1:13" x14ac:dyDescent="0.35">
      <c r="A53" s="1" t="s">
        <v>35</v>
      </c>
      <c r="B53" t="s">
        <v>16</v>
      </c>
      <c r="H53" t="s">
        <v>25</v>
      </c>
    </row>
    <row r="54" spans="1:13" x14ac:dyDescent="0.35">
      <c r="A54" s="1"/>
      <c r="B54" t="s">
        <v>37</v>
      </c>
      <c r="H54" t="s">
        <v>38</v>
      </c>
    </row>
    <row r="55" spans="1:13" x14ac:dyDescent="0.35">
      <c r="A55" s="1"/>
      <c r="B55" s="2" t="s">
        <v>0</v>
      </c>
      <c r="C55" s="2" t="s">
        <v>1</v>
      </c>
      <c r="D55" s="2" t="s">
        <v>2</v>
      </c>
      <c r="E55" s="2" t="s">
        <v>3</v>
      </c>
      <c r="F55" s="2" t="s">
        <v>4</v>
      </c>
      <c r="H55" s="2" t="s">
        <v>0</v>
      </c>
      <c r="I55" s="2" t="s">
        <v>1</v>
      </c>
      <c r="J55" s="2" t="s">
        <v>2</v>
      </c>
      <c r="K55" s="2" t="s">
        <v>3</v>
      </c>
      <c r="L55" s="2" t="s">
        <v>4</v>
      </c>
    </row>
    <row r="56" spans="1:13" x14ac:dyDescent="0.35">
      <c r="A56" s="1"/>
      <c r="B56" s="3" t="s">
        <v>8</v>
      </c>
      <c r="C56" s="3">
        <v>490</v>
      </c>
      <c r="D56" s="3">
        <v>1000</v>
      </c>
      <c r="E56" s="3" t="b">
        <v>0</v>
      </c>
      <c r="F56" s="3" t="s">
        <v>9</v>
      </c>
      <c r="G56">
        <v>3</v>
      </c>
      <c r="H56" s="3" t="s">
        <v>5</v>
      </c>
      <c r="I56" s="3">
        <v>500</v>
      </c>
      <c r="J56" s="3">
        <v>850</v>
      </c>
      <c r="K56" s="3" t="b">
        <v>0</v>
      </c>
      <c r="L56" s="3" t="s">
        <v>6</v>
      </c>
      <c r="M56">
        <v>1</v>
      </c>
    </row>
    <row r="57" spans="1:13" x14ac:dyDescent="0.35">
      <c r="A57" s="1"/>
      <c r="B57" s="3" t="s">
        <v>8</v>
      </c>
      <c r="C57" s="3">
        <v>657</v>
      </c>
      <c r="D57" s="3">
        <v>700</v>
      </c>
      <c r="E57" s="3" t="b">
        <v>1</v>
      </c>
      <c r="F57" s="3" t="s">
        <v>6</v>
      </c>
      <c r="G57">
        <v>6</v>
      </c>
      <c r="H57" s="3" t="s">
        <v>7</v>
      </c>
      <c r="I57" s="3">
        <v>800</v>
      </c>
      <c r="J57" s="3">
        <v>900</v>
      </c>
      <c r="K57" s="3" t="b">
        <v>1</v>
      </c>
      <c r="L57" s="3" t="s">
        <v>6</v>
      </c>
      <c r="M57">
        <v>2</v>
      </c>
    </row>
    <row r="58" spans="1:13" x14ac:dyDescent="0.35">
      <c r="A58" s="1"/>
      <c r="H58" s="3" t="s">
        <v>5</v>
      </c>
      <c r="I58" s="3">
        <v>700</v>
      </c>
      <c r="J58" s="3">
        <v>9006</v>
      </c>
      <c r="K58" s="3" t="b">
        <v>0</v>
      </c>
      <c r="L58" s="3" t="s">
        <v>9</v>
      </c>
      <c r="M58">
        <v>4</v>
      </c>
    </row>
    <row r="59" spans="1:13" x14ac:dyDescent="0.35">
      <c r="A59" s="1"/>
      <c r="H59" s="3" t="s">
        <v>7</v>
      </c>
      <c r="I59" s="3">
        <v>8968</v>
      </c>
      <c r="J59" s="3">
        <v>8000</v>
      </c>
      <c r="K59" s="3" t="b">
        <v>0</v>
      </c>
      <c r="L59" s="3" t="s">
        <v>9</v>
      </c>
      <c r="M59">
        <v>5</v>
      </c>
    </row>
    <row r="60" spans="1:13" x14ac:dyDescent="0.35">
      <c r="A60" s="1"/>
      <c r="H60" s="3" t="s">
        <v>5</v>
      </c>
      <c r="I60" s="3">
        <v>640</v>
      </c>
      <c r="J60" s="3">
        <v>650</v>
      </c>
      <c r="K60" s="3" t="b">
        <v>1</v>
      </c>
      <c r="L60" s="3" t="s">
        <v>9</v>
      </c>
      <c r="M60">
        <v>7</v>
      </c>
    </row>
    <row r="61" spans="1:13" x14ac:dyDescent="0.35">
      <c r="A61" s="1"/>
      <c r="H61" s="3" t="s">
        <v>7</v>
      </c>
      <c r="I61" s="3">
        <v>720</v>
      </c>
      <c r="J61" s="3">
        <v>950</v>
      </c>
      <c r="K61" s="3" t="b">
        <v>0</v>
      </c>
      <c r="L61" s="3" t="s">
        <v>6</v>
      </c>
      <c r="M61">
        <v>8</v>
      </c>
    </row>
    <row r="62" spans="1:13" x14ac:dyDescent="0.35">
      <c r="A62" s="1"/>
    </row>
    <row r="63" spans="1:13" x14ac:dyDescent="0.35">
      <c r="A63" s="1"/>
      <c r="B63" t="s">
        <v>41</v>
      </c>
      <c r="H63" t="s">
        <v>42</v>
      </c>
      <c r="K63">
        <f xml:space="preserve"> 1 - (3/6)^2 - (3/6)^2</f>
        <v>0.5</v>
      </c>
    </row>
    <row r="64" spans="1:13" x14ac:dyDescent="0.35">
      <c r="A64" s="1"/>
      <c r="B64" t="s">
        <v>43</v>
      </c>
    </row>
    <row r="65" spans="1:13" x14ac:dyDescent="0.35">
      <c r="A65" s="1"/>
    </row>
    <row r="66" spans="1:13" x14ac:dyDescent="0.35">
      <c r="A66" s="1"/>
    </row>
    <row r="67" spans="1:13" x14ac:dyDescent="0.35">
      <c r="A67" s="1" t="s">
        <v>36</v>
      </c>
      <c r="B67" t="s">
        <v>17</v>
      </c>
      <c r="H67" t="s">
        <v>18</v>
      </c>
    </row>
    <row r="68" spans="1:13" x14ac:dyDescent="0.35">
      <c r="A68" s="1"/>
      <c r="B68" t="s">
        <v>44</v>
      </c>
      <c r="H68" t="s">
        <v>45</v>
      </c>
    </row>
    <row r="69" spans="1:13" x14ac:dyDescent="0.35">
      <c r="A69" s="1"/>
      <c r="B69" s="2" t="s">
        <v>0</v>
      </c>
      <c r="C69" s="2" t="s">
        <v>1</v>
      </c>
      <c r="D69" s="2" t="s">
        <v>2</v>
      </c>
      <c r="E69" s="2" t="s">
        <v>3</v>
      </c>
      <c r="F69" s="2" t="s">
        <v>4</v>
      </c>
      <c r="H69" s="2" t="s">
        <v>0</v>
      </c>
      <c r="I69" s="2" t="s">
        <v>1</v>
      </c>
      <c r="J69" s="2" t="s">
        <v>2</v>
      </c>
      <c r="K69" s="2" t="s">
        <v>3</v>
      </c>
      <c r="L69" s="2" t="s">
        <v>4</v>
      </c>
    </row>
    <row r="70" spans="1:13" x14ac:dyDescent="0.35">
      <c r="A70" s="1"/>
      <c r="B70" s="3" t="s">
        <v>7</v>
      </c>
      <c r="C70" s="3">
        <v>800</v>
      </c>
      <c r="D70" s="3">
        <v>900</v>
      </c>
      <c r="E70" s="3" t="b">
        <v>1</v>
      </c>
      <c r="F70" s="3" t="s">
        <v>6</v>
      </c>
      <c r="G70">
        <v>2</v>
      </c>
      <c r="H70" s="3" t="s">
        <v>5</v>
      </c>
      <c r="I70" s="3">
        <v>500</v>
      </c>
      <c r="J70" s="3">
        <v>850</v>
      </c>
      <c r="K70" s="3" t="b">
        <v>0</v>
      </c>
      <c r="L70" s="3" t="s">
        <v>6</v>
      </c>
      <c r="M70">
        <v>1</v>
      </c>
    </row>
    <row r="71" spans="1:13" x14ac:dyDescent="0.35">
      <c r="A71" s="1"/>
      <c r="B71" s="3" t="s">
        <v>8</v>
      </c>
      <c r="C71" s="3">
        <v>657</v>
      </c>
      <c r="D71" s="3">
        <v>700</v>
      </c>
      <c r="E71" s="3" t="b">
        <v>1</v>
      </c>
      <c r="F71" s="3" t="s">
        <v>6</v>
      </c>
      <c r="G71">
        <v>6</v>
      </c>
      <c r="H71" s="3" t="s">
        <v>8</v>
      </c>
      <c r="I71" s="3">
        <v>490</v>
      </c>
      <c r="J71" s="3">
        <v>1000</v>
      </c>
      <c r="K71" s="3" t="b">
        <v>0</v>
      </c>
      <c r="L71" s="3" t="s">
        <v>9</v>
      </c>
      <c r="M71">
        <v>3</v>
      </c>
    </row>
    <row r="72" spans="1:13" x14ac:dyDescent="0.35">
      <c r="A72" s="1"/>
      <c r="B72" s="3" t="s">
        <v>5</v>
      </c>
      <c r="C72" s="3">
        <v>640</v>
      </c>
      <c r="D72" s="3">
        <v>650</v>
      </c>
      <c r="E72" s="3" t="b">
        <v>1</v>
      </c>
      <c r="F72" s="3" t="s">
        <v>9</v>
      </c>
      <c r="G72">
        <v>7</v>
      </c>
      <c r="H72" s="3" t="s">
        <v>5</v>
      </c>
      <c r="I72" s="3">
        <v>700</v>
      </c>
      <c r="J72" s="3">
        <v>9006</v>
      </c>
      <c r="K72" s="3" t="b">
        <v>0</v>
      </c>
      <c r="L72" s="3" t="s">
        <v>9</v>
      </c>
      <c r="M72">
        <v>4</v>
      </c>
    </row>
    <row r="73" spans="1:13" x14ac:dyDescent="0.35">
      <c r="A73" s="1"/>
      <c r="H73" s="3" t="s">
        <v>7</v>
      </c>
      <c r="I73" s="3">
        <v>8968</v>
      </c>
      <c r="J73" s="3">
        <v>8000</v>
      </c>
      <c r="K73" s="3" t="b">
        <v>0</v>
      </c>
      <c r="L73" s="3" t="s">
        <v>9</v>
      </c>
      <c r="M73">
        <v>5</v>
      </c>
    </row>
    <row r="74" spans="1:13" x14ac:dyDescent="0.35">
      <c r="A74" s="1"/>
      <c r="H74" s="3" t="s">
        <v>7</v>
      </c>
      <c r="I74" s="3">
        <v>720</v>
      </c>
      <c r="J74" s="3">
        <v>950</v>
      </c>
      <c r="K74" s="3" t="b">
        <v>0</v>
      </c>
      <c r="L74" s="3" t="s">
        <v>6</v>
      </c>
      <c r="M74">
        <v>8</v>
      </c>
    </row>
    <row r="75" spans="1:13" x14ac:dyDescent="0.35">
      <c r="A75" s="1"/>
    </row>
    <row r="76" spans="1:13" x14ac:dyDescent="0.35">
      <c r="A76" s="1"/>
      <c r="B76" t="s">
        <v>39</v>
      </c>
      <c r="H76" t="s">
        <v>40</v>
      </c>
    </row>
    <row r="77" spans="1:13" x14ac:dyDescent="0.35">
      <c r="A77" s="1"/>
      <c r="B77" t="s">
        <v>31</v>
      </c>
    </row>
    <row r="78" spans="1:13" x14ac:dyDescent="0.35">
      <c r="A78" s="1"/>
    </row>
    <row r="79" spans="1:13" x14ac:dyDescent="0.35">
      <c r="A79" s="1"/>
    </row>
    <row r="80" spans="1:13" x14ac:dyDescent="0.35">
      <c r="A80" s="1" t="s">
        <v>46</v>
      </c>
      <c r="B80" t="s">
        <v>48</v>
      </c>
    </row>
    <row r="81" spans="1:13" x14ac:dyDescent="0.35">
      <c r="A81" s="1"/>
      <c r="B81" t="s">
        <v>47</v>
      </c>
    </row>
    <row r="82" spans="1:13" x14ac:dyDescent="0.35">
      <c r="A82" s="1"/>
      <c r="B82" s="5" t="s">
        <v>57</v>
      </c>
    </row>
    <row r="83" spans="1:13" x14ac:dyDescent="0.35">
      <c r="A83" s="1"/>
      <c r="B83" t="s">
        <v>69</v>
      </c>
      <c r="H83" t="s">
        <v>54</v>
      </c>
    </row>
    <row r="84" spans="1:13" x14ac:dyDescent="0.35">
      <c r="A84" s="1"/>
      <c r="B84" t="s">
        <v>50</v>
      </c>
      <c r="H84" t="s">
        <v>51</v>
      </c>
    </row>
    <row r="85" spans="1:13" x14ac:dyDescent="0.35">
      <c r="A85" s="1"/>
    </row>
    <row r="86" spans="1:13" x14ac:dyDescent="0.35">
      <c r="A86" s="1"/>
      <c r="B86" s="2" t="s">
        <v>0</v>
      </c>
      <c r="C86" s="2" t="s">
        <v>1</v>
      </c>
      <c r="D86" s="2" t="s">
        <v>2</v>
      </c>
      <c r="E86" s="2" t="s">
        <v>3</v>
      </c>
      <c r="F86" s="2" t="s">
        <v>4</v>
      </c>
      <c r="H86" s="2" t="s">
        <v>0</v>
      </c>
      <c r="I86" s="2" t="s">
        <v>1</v>
      </c>
      <c r="J86" s="2" t="s">
        <v>2</v>
      </c>
      <c r="K86" s="2" t="s">
        <v>3</v>
      </c>
      <c r="L86" s="2" t="s">
        <v>4</v>
      </c>
    </row>
    <row r="87" spans="1:13" x14ac:dyDescent="0.35">
      <c r="A87" s="1"/>
      <c r="B87" s="3" t="s">
        <v>5</v>
      </c>
      <c r="C87" s="3">
        <v>500</v>
      </c>
      <c r="D87" s="3">
        <v>850</v>
      </c>
      <c r="E87" s="3" t="b">
        <v>0</v>
      </c>
      <c r="F87" s="3" t="s">
        <v>6</v>
      </c>
      <c r="G87">
        <v>1</v>
      </c>
      <c r="H87" s="3" t="s">
        <v>7</v>
      </c>
      <c r="I87" s="3">
        <v>800</v>
      </c>
      <c r="J87" s="3">
        <v>900</v>
      </c>
      <c r="K87" s="3" t="b">
        <v>1</v>
      </c>
      <c r="L87" s="3" t="s">
        <v>6</v>
      </c>
      <c r="M87">
        <v>2</v>
      </c>
    </row>
    <row r="88" spans="1:13" x14ac:dyDescent="0.35">
      <c r="A88" s="1"/>
      <c r="B88" s="3" t="s">
        <v>8</v>
      </c>
      <c r="C88" s="3">
        <v>490</v>
      </c>
      <c r="D88" s="3">
        <v>1000</v>
      </c>
      <c r="E88" s="3" t="b">
        <v>0</v>
      </c>
      <c r="F88" s="3" t="s">
        <v>9</v>
      </c>
      <c r="G88">
        <v>3</v>
      </c>
      <c r="H88" s="3" t="s">
        <v>5</v>
      </c>
      <c r="I88" s="3">
        <v>700</v>
      </c>
      <c r="J88" s="3">
        <v>9006</v>
      </c>
      <c r="K88" s="3" t="b">
        <v>0</v>
      </c>
      <c r="L88" s="3" t="s">
        <v>9</v>
      </c>
      <c r="M88">
        <v>4</v>
      </c>
    </row>
    <row r="89" spans="1:13" x14ac:dyDescent="0.35">
      <c r="A89" s="1"/>
      <c r="H89" s="3" t="s">
        <v>7</v>
      </c>
      <c r="I89" s="3">
        <v>8968</v>
      </c>
      <c r="J89" s="3">
        <v>8000</v>
      </c>
      <c r="K89" s="3" t="b">
        <v>0</v>
      </c>
      <c r="L89" s="3" t="s">
        <v>9</v>
      </c>
      <c r="M89">
        <v>5</v>
      </c>
    </row>
    <row r="90" spans="1:13" x14ac:dyDescent="0.35">
      <c r="A90" s="1"/>
      <c r="H90" s="3" t="s">
        <v>8</v>
      </c>
      <c r="I90" s="3">
        <v>657</v>
      </c>
      <c r="J90" s="3">
        <v>700</v>
      </c>
      <c r="K90" s="3" t="b">
        <v>1</v>
      </c>
      <c r="L90" s="3" t="s">
        <v>6</v>
      </c>
      <c r="M90">
        <v>6</v>
      </c>
    </row>
    <row r="91" spans="1:13" x14ac:dyDescent="0.35">
      <c r="A91" s="1"/>
      <c r="H91" s="3" t="s">
        <v>5</v>
      </c>
      <c r="I91" s="3">
        <v>640</v>
      </c>
      <c r="J91" s="3">
        <v>650</v>
      </c>
      <c r="K91" s="3" t="b">
        <v>1</v>
      </c>
      <c r="L91" s="3" t="s">
        <v>9</v>
      </c>
      <c r="M91">
        <v>7</v>
      </c>
    </row>
    <row r="92" spans="1:13" x14ac:dyDescent="0.35">
      <c r="A92" s="1"/>
      <c r="H92" s="3" t="s">
        <v>7</v>
      </c>
      <c r="I92" s="3">
        <v>720</v>
      </c>
      <c r="J92" s="3">
        <v>950</v>
      </c>
      <c r="K92" s="3" t="b">
        <v>0</v>
      </c>
      <c r="L92" s="3" t="s">
        <v>6</v>
      </c>
      <c r="M92">
        <v>8</v>
      </c>
    </row>
    <row r="93" spans="1:13" x14ac:dyDescent="0.35">
      <c r="A93" s="1"/>
    </row>
    <row r="94" spans="1:13" x14ac:dyDescent="0.35">
      <c r="A94" s="1"/>
      <c r="B94" t="s">
        <v>41</v>
      </c>
      <c r="H94" t="s">
        <v>52</v>
      </c>
    </row>
    <row r="95" spans="1:13" x14ac:dyDescent="0.35">
      <c r="A95" s="1"/>
      <c r="B95" t="s">
        <v>43</v>
      </c>
    </row>
    <row r="96" spans="1:13" x14ac:dyDescent="0.35">
      <c r="A96" s="1"/>
    </row>
    <row r="97" spans="1:8" x14ac:dyDescent="0.35">
      <c r="A97" s="1"/>
      <c r="B97" s="5" t="s">
        <v>59</v>
      </c>
    </row>
    <row r="98" spans="1:8" x14ac:dyDescent="0.35">
      <c r="A98" s="1"/>
      <c r="B98" t="s">
        <v>60</v>
      </c>
      <c r="H98" t="s">
        <v>61</v>
      </c>
    </row>
    <row r="99" spans="1:8" x14ac:dyDescent="0.35">
      <c r="A99" s="1"/>
      <c r="B99" t="s">
        <v>63</v>
      </c>
      <c r="H99" t="s">
        <v>62</v>
      </c>
    </row>
    <row r="100" spans="1:8" x14ac:dyDescent="0.35">
      <c r="A100" s="1"/>
      <c r="B100" t="s">
        <v>27</v>
      </c>
      <c r="H100" t="s">
        <v>30</v>
      </c>
    </row>
    <row r="101" spans="1:8" x14ac:dyDescent="0.35">
      <c r="A101" s="1"/>
      <c r="B101" t="s">
        <v>31</v>
      </c>
    </row>
    <row r="102" spans="1:8" x14ac:dyDescent="0.35">
      <c r="A102" s="1"/>
    </row>
    <row r="103" spans="1:8" x14ac:dyDescent="0.35">
      <c r="A103" s="1"/>
      <c r="B103" s="5" t="s">
        <v>58</v>
      </c>
    </row>
    <row r="104" spans="1:8" x14ac:dyDescent="0.35">
      <c r="A104" s="1"/>
      <c r="B104" t="s">
        <v>53</v>
      </c>
      <c r="H104" t="s">
        <v>55</v>
      </c>
    </row>
    <row r="105" spans="1:8" x14ac:dyDescent="0.35">
      <c r="A105" s="1"/>
      <c r="B105" t="s">
        <v>34</v>
      </c>
      <c r="H105" t="s">
        <v>84</v>
      </c>
    </row>
    <row r="106" spans="1:8" x14ac:dyDescent="0.35">
      <c r="A106" s="1"/>
      <c r="B106" t="s">
        <v>85</v>
      </c>
      <c r="H106" t="s">
        <v>86</v>
      </c>
    </row>
    <row r="107" spans="1:8" x14ac:dyDescent="0.35">
      <c r="A107" s="1"/>
      <c r="B107" t="s">
        <v>87</v>
      </c>
    </row>
    <row r="108" spans="1:8" x14ac:dyDescent="0.35">
      <c r="A108" s="1"/>
    </row>
    <row r="109" spans="1:8" x14ac:dyDescent="0.35">
      <c r="A109" s="1"/>
    </row>
    <row r="110" spans="1:8" x14ac:dyDescent="0.35">
      <c r="A110" s="1" t="s">
        <v>65</v>
      </c>
      <c r="B110" t="s">
        <v>66</v>
      </c>
    </row>
    <row r="111" spans="1:8" x14ac:dyDescent="0.35">
      <c r="B111" t="s">
        <v>67</v>
      </c>
    </row>
    <row r="112" spans="1:8" x14ac:dyDescent="0.35">
      <c r="B112" s="5" t="s">
        <v>68</v>
      </c>
    </row>
    <row r="113" spans="2:8" x14ac:dyDescent="0.35">
      <c r="B113" t="s">
        <v>71</v>
      </c>
      <c r="H113" t="s">
        <v>72</v>
      </c>
    </row>
    <row r="114" spans="2:8" x14ac:dyDescent="0.35">
      <c r="B114" t="s">
        <v>70</v>
      </c>
      <c r="H114" t="s">
        <v>73</v>
      </c>
    </row>
    <row r="115" spans="2:8" x14ac:dyDescent="0.35">
      <c r="B115" t="s">
        <v>41</v>
      </c>
      <c r="H115" t="s">
        <v>52</v>
      </c>
    </row>
    <row r="116" spans="2:8" x14ac:dyDescent="0.35">
      <c r="B116" t="s">
        <v>43</v>
      </c>
    </row>
    <row r="118" spans="2:8" x14ac:dyDescent="0.35">
      <c r="B118" s="5" t="s">
        <v>74</v>
      </c>
    </row>
    <row r="119" spans="2:8" x14ac:dyDescent="0.35">
      <c r="B119" t="s">
        <v>75</v>
      </c>
      <c r="H119" t="s">
        <v>76</v>
      </c>
    </row>
    <row r="120" spans="2:8" x14ac:dyDescent="0.35">
      <c r="B120" t="s">
        <v>128</v>
      </c>
      <c r="H120" t="s">
        <v>129</v>
      </c>
    </row>
    <row r="121" spans="2:8" x14ac:dyDescent="0.35">
      <c r="B121" t="s">
        <v>130</v>
      </c>
      <c r="F121">
        <f xml:space="preserve"> 5/8 * 0.32 + 3/8 * 0</f>
        <v>0.2</v>
      </c>
      <c r="H121" t="s">
        <v>131</v>
      </c>
    </row>
    <row r="122" spans="2:8" x14ac:dyDescent="0.35">
      <c r="B122" t="s">
        <v>132</v>
      </c>
    </row>
    <row r="124" spans="2:8" x14ac:dyDescent="0.35">
      <c r="B124" s="5" t="s">
        <v>125</v>
      </c>
    </row>
    <row r="125" spans="2:8" x14ac:dyDescent="0.35">
      <c r="B125" t="s">
        <v>126</v>
      </c>
      <c r="H125" t="s">
        <v>127</v>
      </c>
    </row>
    <row r="126" spans="2:8" x14ac:dyDescent="0.35">
      <c r="B126" t="s">
        <v>88</v>
      </c>
      <c r="H126" t="s">
        <v>89</v>
      </c>
    </row>
    <row r="127" spans="2:8" x14ac:dyDescent="0.35">
      <c r="B127" t="s">
        <v>90</v>
      </c>
      <c r="H127" t="s">
        <v>91</v>
      </c>
    </row>
    <row r="128" spans="2:8" x14ac:dyDescent="0.35">
      <c r="B128" t="s">
        <v>64</v>
      </c>
    </row>
    <row r="130" spans="1:11" x14ac:dyDescent="0.35">
      <c r="B130" s="7" t="s">
        <v>94</v>
      </c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35">
      <c r="B131" s="1" t="s">
        <v>95</v>
      </c>
      <c r="C131" s="1"/>
      <c r="D131" s="1"/>
      <c r="E131" s="1"/>
      <c r="F131" s="1"/>
      <c r="G131" s="1"/>
      <c r="H131" s="1" t="s">
        <v>124</v>
      </c>
      <c r="I131" s="1"/>
      <c r="J131" s="1"/>
      <c r="K131" s="1"/>
    </row>
    <row r="132" spans="1:11" x14ac:dyDescent="0.35">
      <c r="B132" s="1" t="s">
        <v>92</v>
      </c>
      <c r="C132" s="1"/>
      <c r="D132" s="1"/>
      <c r="E132" s="1"/>
      <c r="F132" s="1"/>
      <c r="G132" s="1"/>
      <c r="H132" s="1" t="s">
        <v>93</v>
      </c>
      <c r="I132" s="1"/>
      <c r="J132" s="1"/>
      <c r="K132" s="1"/>
    </row>
    <row r="133" spans="1:11" x14ac:dyDescent="0.35">
      <c r="B133" s="1" t="s">
        <v>98</v>
      </c>
      <c r="C133" s="1"/>
      <c r="D133" s="1"/>
      <c r="E133" s="1"/>
      <c r="F133" s="1"/>
      <c r="G133" s="1"/>
      <c r="H133" s="1" t="s">
        <v>97</v>
      </c>
      <c r="I133" s="1"/>
      <c r="J133" s="1"/>
      <c r="K133" s="1"/>
    </row>
    <row r="134" spans="1:11" x14ac:dyDescent="0.35">
      <c r="B134" s="1" t="s">
        <v>99</v>
      </c>
      <c r="C134" s="1"/>
      <c r="D134" s="1"/>
      <c r="E134" s="1"/>
      <c r="F134" s="1"/>
      <c r="G134" s="1"/>
      <c r="H134" s="1"/>
      <c r="I134" s="1"/>
      <c r="J134" s="1"/>
      <c r="K134" s="1"/>
    </row>
    <row r="136" spans="1:11" x14ac:dyDescent="0.35">
      <c r="B136" t="s">
        <v>100</v>
      </c>
    </row>
    <row r="137" spans="1:11" x14ac:dyDescent="0.35">
      <c r="B137" t="s">
        <v>95</v>
      </c>
      <c r="H137" t="s">
        <v>96</v>
      </c>
    </row>
    <row r="138" spans="1:11" x14ac:dyDescent="0.35">
      <c r="B138" t="s">
        <v>101</v>
      </c>
      <c r="H138" t="s">
        <v>102</v>
      </c>
    </row>
    <row r="139" spans="1:11" x14ac:dyDescent="0.35">
      <c r="B139" s="1" t="s">
        <v>82</v>
      </c>
      <c r="C139" s="1"/>
      <c r="D139" s="1"/>
      <c r="E139" s="1"/>
      <c r="F139" s="1"/>
      <c r="G139" s="1"/>
      <c r="H139" s="1" t="s">
        <v>77</v>
      </c>
    </row>
    <row r="142" spans="1:11" x14ac:dyDescent="0.35">
      <c r="A142" s="1" t="s">
        <v>83</v>
      </c>
    </row>
    <row r="143" spans="1:11" x14ac:dyDescent="0.35">
      <c r="A143" s="1"/>
      <c r="B143" t="s">
        <v>95</v>
      </c>
    </row>
    <row r="144" spans="1:11" x14ac:dyDescent="0.35">
      <c r="A144" s="1"/>
      <c r="B144" t="s">
        <v>101</v>
      </c>
    </row>
    <row r="145" spans="1:11" x14ac:dyDescent="0.35">
      <c r="B145" s="2" t="s">
        <v>0</v>
      </c>
      <c r="C145" s="2" t="s">
        <v>1</v>
      </c>
      <c r="D145" s="2" t="s">
        <v>2</v>
      </c>
      <c r="E145" s="2" t="s">
        <v>3</v>
      </c>
      <c r="F145" s="2" t="s">
        <v>4</v>
      </c>
    </row>
    <row r="146" spans="1:11" x14ac:dyDescent="0.35">
      <c r="B146" s="3" t="s">
        <v>5</v>
      </c>
      <c r="C146" s="3">
        <v>500</v>
      </c>
      <c r="D146" s="3">
        <v>850</v>
      </c>
      <c r="E146" s="3" t="b">
        <v>0</v>
      </c>
      <c r="F146" s="3" t="s">
        <v>6</v>
      </c>
      <c r="G146">
        <v>1</v>
      </c>
    </row>
    <row r="147" spans="1:11" x14ac:dyDescent="0.35">
      <c r="B147" s="3" t="s">
        <v>7</v>
      </c>
      <c r="C147" s="3">
        <v>800</v>
      </c>
      <c r="D147" s="3">
        <v>900</v>
      </c>
      <c r="E147" s="3" t="b">
        <v>1</v>
      </c>
      <c r="F147" s="3" t="s">
        <v>6</v>
      </c>
      <c r="G147">
        <v>2</v>
      </c>
    </row>
    <row r="148" spans="1:11" x14ac:dyDescent="0.35">
      <c r="B148" s="3" t="s">
        <v>8</v>
      </c>
      <c r="C148" s="3">
        <v>490</v>
      </c>
      <c r="D148" s="3">
        <v>1000</v>
      </c>
      <c r="E148" s="3" t="b">
        <v>0</v>
      </c>
      <c r="F148" s="3" t="s">
        <v>9</v>
      </c>
      <c r="G148">
        <v>3</v>
      </c>
    </row>
    <row r="149" spans="1:11" x14ac:dyDescent="0.35">
      <c r="B149" s="3" t="s">
        <v>8</v>
      </c>
      <c r="C149" s="3">
        <v>657</v>
      </c>
      <c r="D149" s="3">
        <v>700</v>
      </c>
      <c r="E149" s="3" t="b">
        <v>1</v>
      </c>
      <c r="F149" s="3" t="s">
        <v>6</v>
      </c>
      <c r="G149">
        <v>6</v>
      </c>
    </row>
    <row r="150" spans="1:11" x14ac:dyDescent="0.35">
      <c r="B150" s="3" t="s">
        <v>5</v>
      </c>
      <c r="C150" s="3">
        <v>640</v>
      </c>
      <c r="D150" s="3">
        <v>650</v>
      </c>
      <c r="E150" s="3" t="b">
        <v>1</v>
      </c>
      <c r="F150" s="3" t="s">
        <v>9</v>
      </c>
      <c r="G150">
        <v>7</v>
      </c>
    </row>
    <row r="151" spans="1:11" x14ac:dyDescent="0.35">
      <c r="B151" s="3" t="s">
        <v>7</v>
      </c>
      <c r="C151" s="3">
        <v>720</v>
      </c>
      <c r="D151" s="3">
        <v>950</v>
      </c>
      <c r="E151" s="3" t="b">
        <v>0</v>
      </c>
      <c r="F151" s="3" t="s">
        <v>6</v>
      </c>
      <c r="G151">
        <v>8</v>
      </c>
    </row>
    <row r="154" spans="1:11" x14ac:dyDescent="0.35">
      <c r="A154" s="1" t="s">
        <v>11</v>
      </c>
      <c r="B154" t="s">
        <v>12</v>
      </c>
      <c r="C154" t="s">
        <v>13</v>
      </c>
    </row>
    <row r="155" spans="1:11" x14ac:dyDescent="0.35">
      <c r="A155">
        <v>1</v>
      </c>
      <c r="B155" t="s">
        <v>14</v>
      </c>
      <c r="C155" t="s">
        <v>23</v>
      </c>
    </row>
    <row r="156" spans="1:11" x14ac:dyDescent="0.35">
      <c r="A156">
        <v>2</v>
      </c>
      <c r="B156" t="s">
        <v>17</v>
      </c>
      <c r="C156" t="s">
        <v>18</v>
      </c>
    </row>
    <row r="158" spans="1:11" x14ac:dyDescent="0.35">
      <c r="B158" t="s">
        <v>20</v>
      </c>
    </row>
    <row r="160" spans="1:11" x14ac:dyDescent="0.35">
      <c r="A160" s="6" t="s">
        <v>22</v>
      </c>
      <c r="B160" t="s">
        <v>14</v>
      </c>
      <c r="H160" t="s">
        <v>0</v>
      </c>
      <c r="I160" t="s">
        <v>104</v>
      </c>
      <c r="J160" t="s">
        <v>105</v>
      </c>
      <c r="K160" t="s">
        <v>106</v>
      </c>
    </row>
    <row r="161" spans="1:9" x14ac:dyDescent="0.35">
      <c r="A161" s="1"/>
      <c r="B161" t="s">
        <v>103</v>
      </c>
      <c r="H161" t="s">
        <v>107</v>
      </c>
    </row>
    <row r="162" spans="1:9" x14ac:dyDescent="0.35">
      <c r="B162" t="s">
        <v>41</v>
      </c>
      <c r="H162" t="s">
        <v>56</v>
      </c>
    </row>
    <row r="163" spans="1:9" x14ac:dyDescent="0.35">
      <c r="B163" t="s">
        <v>108</v>
      </c>
    </row>
    <row r="165" spans="1:9" x14ac:dyDescent="0.35">
      <c r="A165" s="1" t="s">
        <v>32</v>
      </c>
      <c r="B165" t="s">
        <v>17</v>
      </c>
      <c r="H165" t="s">
        <v>18</v>
      </c>
    </row>
    <row r="166" spans="1:9" x14ac:dyDescent="0.35">
      <c r="B166" t="s">
        <v>44</v>
      </c>
      <c r="H166" t="s">
        <v>109</v>
      </c>
    </row>
    <row r="167" spans="1:9" x14ac:dyDescent="0.35">
      <c r="B167" t="s">
        <v>110</v>
      </c>
      <c r="H167" t="s">
        <v>111</v>
      </c>
    </row>
    <row r="168" spans="1:9" x14ac:dyDescent="0.35">
      <c r="B168" t="s">
        <v>112</v>
      </c>
    </row>
    <row r="170" spans="1:9" x14ac:dyDescent="0.35">
      <c r="A170" s="1" t="s">
        <v>35</v>
      </c>
      <c r="B170" s="7" t="s">
        <v>117</v>
      </c>
      <c r="C170" s="1"/>
      <c r="D170" s="1"/>
      <c r="E170" s="1"/>
      <c r="F170" s="1"/>
      <c r="G170" s="1"/>
      <c r="H170" s="1"/>
      <c r="I170" s="1"/>
    </row>
    <row r="171" spans="1:9" x14ac:dyDescent="0.35">
      <c r="B171" s="1" t="s">
        <v>60</v>
      </c>
      <c r="C171" s="1"/>
      <c r="D171" s="1"/>
      <c r="E171" s="1"/>
      <c r="F171" s="1"/>
      <c r="G171" s="1"/>
      <c r="H171" s="1" t="s">
        <v>121</v>
      </c>
      <c r="I171" s="1"/>
    </row>
    <row r="172" spans="1:9" x14ac:dyDescent="0.35">
      <c r="B172" s="1" t="s">
        <v>49</v>
      </c>
      <c r="C172" s="1"/>
      <c r="D172" s="1"/>
      <c r="E172" s="1"/>
      <c r="F172" s="1"/>
      <c r="G172" s="1"/>
      <c r="H172" s="1" t="s">
        <v>118</v>
      </c>
      <c r="I172" s="1"/>
    </row>
    <row r="173" spans="1:9" x14ac:dyDescent="0.35">
      <c r="B173" s="1" t="s">
        <v>110</v>
      </c>
      <c r="C173" s="1"/>
      <c r="D173" s="1"/>
      <c r="E173" s="1"/>
      <c r="F173" s="1"/>
      <c r="G173" s="1"/>
      <c r="H173" s="1" t="s">
        <v>119</v>
      </c>
      <c r="I173" s="1"/>
    </row>
    <row r="174" spans="1:9" x14ac:dyDescent="0.35">
      <c r="B174" s="1" t="s">
        <v>120</v>
      </c>
      <c r="C174" s="1"/>
      <c r="D174" s="1"/>
      <c r="E174" s="1"/>
      <c r="F174" s="1"/>
      <c r="G174" s="1"/>
      <c r="H174" s="1"/>
      <c r="I174" s="1"/>
    </row>
    <row r="176" spans="1:9" x14ac:dyDescent="0.35">
      <c r="A176" s="1" t="s">
        <v>36</v>
      </c>
      <c r="B176" s="5" t="s">
        <v>113</v>
      </c>
    </row>
    <row r="177" spans="2:11" x14ac:dyDescent="0.35">
      <c r="B177" t="s">
        <v>114</v>
      </c>
      <c r="H177" t="s">
        <v>115</v>
      </c>
    </row>
    <row r="178" spans="2:11" x14ac:dyDescent="0.35">
      <c r="B178" t="s">
        <v>70</v>
      </c>
      <c r="H178" t="s">
        <v>116</v>
      </c>
    </row>
    <row r="179" spans="2:11" x14ac:dyDescent="0.35">
      <c r="B179" t="s">
        <v>78</v>
      </c>
      <c r="H179" t="s">
        <v>80</v>
      </c>
    </row>
    <row r="180" spans="2:11" x14ac:dyDescent="0.35">
      <c r="B180" t="s">
        <v>79</v>
      </c>
    </row>
    <row r="182" spans="2:11" x14ac:dyDescent="0.35">
      <c r="B182" t="s">
        <v>81</v>
      </c>
    </row>
    <row r="183" spans="2:11" x14ac:dyDescent="0.35">
      <c r="B183" t="s">
        <v>60</v>
      </c>
      <c r="H183" t="s">
        <v>121</v>
      </c>
    </row>
    <row r="184" spans="2:11" x14ac:dyDescent="0.35">
      <c r="B184" t="s">
        <v>122</v>
      </c>
      <c r="H184" t="s">
        <v>123</v>
      </c>
    </row>
    <row r="185" spans="2:11" x14ac:dyDescent="0.35">
      <c r="B185" s="1" t="s">
        <v>82</v>
      </c>
    </row>
    <row r="186" spans="2:11" x14ac:dyDescent="0.35">
      <c r="B186" s="1"/>
    </row>
    <row r="187" spans="2:11" x14ac:dyDescent="0.35">
      <c r="B187" s="1"/>
    </row>
    <row r="189" spans="2:11" x14ac:dyDescent="0.35">
      <c r="B189" s="7" t="s">
        <v>144</v>
      </c>
    </row>
    <row r="190" spans="2:11" ht="23.5" x14ac:dyDescent="0.35">
      <c r="B190" s="11" t="s">
        <v>143</v>
      </c>
      <c r="K190" s="11" t="s">
        <v>142</v>
      </c>
    </row>
    <row r="191" spans="2:11" x14ac:dyDescent="0.35">
      <c r="B191" s="8"/>
    </row>
    <row r="192" spans="2:11" x14ac:dyDescent="0.35">
      <c r="B192" s="14" t="s">
        <v>145</v>
      </c>
    </row>
    <row r="193" spans="2:2" x14ac:dyDescent="0.35">
      <c r="B193" s="12" t="s">
        <v>133</v>
      </c>
    </row>
    <row r="194" spans="2:2" x14ac:dyDescent="0.35">
      <c r="B194" s="13" t="s">
        <v>134</v>
      </c>
    </row>
    <row r="195" spans="2:2" x14ac:dyDescent="0.35">
      <c r="B195" s="10"/>
    </row>
    <row r="196" spans="2:2" x14ac:dyDescent="0.35">
      <c r="B196" s="12" t="s">
        <v>135</v>
      </c>
    </row>
    <row r="197" spans="2:2" x14ac:dyDescent="0.35">
      <c r="B197" s="13" t="s">
        <v>136</v>
      </c>
    </row>
    <row r="198" spans="2:2" x14ac:dyDescent="0.35">
      <c r="B198" s="10"/>
    </row>
    <row r="199" spans="2:2" x14ac:dyDescent="0.35">
      <c r="B199" s="12" t="s">
        <v>137</v>
      </c>
    </row>
    <row r="200" spans="2:2" x14ac:dyDescent="0.35">
      <c r="B200" s="13" t="s">
        <v>134</v>
      </c>
    </row>
    <row r="201" spans="2:2" x14ac:dyDescent="0.35">
      <c r="B201" s="10"/>
    </row>
    <row r="202" spans="2:2" x14ac:dyDescent="0.35">
      <c r="B202" s="12" t="s">
        <v>138</v>
      </c>
    </row>
    <row r="203" spans="2:2" x14ac:dyDescent="0.35">
      <c r="B203" s="13" t="s">
        <v>134</v>
      </c>
    </row>
    <row r="204" spans="2:2" x14ac:dyDescent="0.35">
      <c r="B204" s="10"/>
    </row>
    <row r="205" spans="2:2" x14ac:dyDescent="0.35">
      <c r="B205" s="12" t="s">
        <v>139</v>
      </c>
    </row>
    <row r="206" spans="2:2" x14ac:dyDescent="0.35">
      <c r="B206" s="13" t="s">
        <v>136</v>
      </c>
    </row>
    <row r="207" spans="2:2" x14ac:dyDescent="0.35">
      <c r="B207" s="9"/>
    </row>
    <row r="208" spans="2:2" x14ac:dyDescent="0.35">
      <c r="B208" s="13" t="s">
        <v>140</v>
      </c>
    </row>
    <row r="209" spans="2:2" x14ac:dyDescent="0.35">
      <c r="B209" s="13" t="s">
        <v>141</v>
      </c>
    </row>
    <row r="210" spans="2:2" x14ac:dyDescent="0.35">
      <c r="B210" s="8"/>
    </row>
    <row r="211" spans="2:2" x14ac:dyDescent="0.35">
      <c r="B211" s="8"/>
    </row>
    <row r="212" spans="2:2" x14ac:dyDescent="0.35">
      <c r="B212" s="8"/>
    </row>
    <row r="213" spans="2:2" x14ac:dyDescent="0.35">
      <c r="B213" s="8"/>
    </row>
    <row r="214" spans="2:2" x14ac:dyDescent="0.35">
      <c r="B214" s="8"/>
    </row>
    <row r="215" spans="2:2" x14ac:dyDescent="0.35">
      <c r="B215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2254-DD81-4960-939E-2BC67F8675F9}">
  <dimension ref="A1:C16"/>
  <sheetViews>
    <sheetView workbookViewId="0">
      <selection activeCell="B16" sqref="B16"/>
    </sheetView>
  </sheetViews>
  <sheetFormatPr defaultRowHeight="14.5" x14ac:dyDescent="0.35"/>
  <cols>
    <col min="1" max="1" width="11.26953125" bestFit="1" customWidth="1"/>
    <col min="2" max="2" width="39.26953125" bestFit="1" customWidth="1"/>
    <col min="3" max="3" width="38.453125" bestFit="1" customWidth="1"/>
  </cols>
  <sheetData>
    <row r="1" spans="1:3" ht="15.5" x14ac:dyDescent="0.35">
      <c r="A1" s="15" t="s">
        <v>146</v>
      </c>
      <c r="B1" s="15" t="s">
        <v>163</v>
      </c>
      <c r="C1" s="15" t="s">
        <v>164</v>
      </c>
    </row>
    <row r="2" spans="1:3" x14ac:dyDescent="0.35">
      <c r="A2" s="3" t="s">
        <v>147</v>
      </c>
      <c r="B2" s="3" t="s">
        <v>148</v>
      </c>
      <c r="C2" s="3" t="s">
        <v>148</v>
      </c>
    </row>
    <row r="3" spans="1:3" x14ac:dyDescent="0.35">
      <c r="A3" s="16" t="s">
        <v>149</v>
      </c>
      <c r="B3" s="3" t="s">
        <v>169</v>
      </c>
      <c r="C3" s="3" t="s">
        <v>173</v>
      </c>
    </row>
    <row r="4" spans="1:3" x14ac:dyDescent="0.35">
      <c r="A4" s="18"/>
      <c r="B4" s="3" t="s">
        <v>165</v>
      </c>
      <c r="C4" s="3" t="s">
        <v>174</v>
      </c>
    </row>
    <row r="5" spans="1:3" x14ac:dyDescent="0.35">
      <c r="A5" s="17"/>
      <c r="B5" s="3" t="s">
        <v>166</v>
      </c>
      <c r="C5" s="3" t="s">
        <v>175</v>
      </c>
    </row>
    <row r="6" spans="1:3" x14ac:dyDescent="0.35">
      <c r="A6" s="16" t="s">
        <v>150</v>
      </c>
      <c r="B6" s="3" t="s">
        <v>168</v>
      </c>
      <c r="C6" s="3" t="s">
        <v>172</v>
      </c>
    </row>
    <row r="7" spans="1:3" x14ac:dyDescent="0.35">
      <c r="A7" s="18"/>
      <c r="B7" s="3" t="s">
        <v>165</v>
      </c>
      <c r="C7" s="3" t="s">
        <v>170</v>
      </c>
    </row>
    <row r="8" spans="1:3" x14ac:dyDescent="0.35">
      <c r="A8" s="17"/>
      <c r="B8" s="3" t="s">
        <v>167</v>
      </c>
      <c r="C8" s="3" t="s">
        <v>171</v>
      </c>
    </row>
    <row r="9" spans="1:3" x14ac:dyDescent="0.35">
      <c r="A9" s="3" t="s">
        <v>151</v>
      </c>
      <c r="B9" s="3" t="s">
        <v>152</v>
      </c>
      <c r="C9" s="3" t="s">
        <v>153</v>
      </c>
    </row>
    <row r="10" spans="1:3" x14ac:dyDescent="0.35">
      <c r="A10" s="3" t="s">
        <v>154</v>
      </c>
      <c r="B10" s="3" t="s">
        <v>155</v>
      </c>
      <c r="C10" s="3" t="s">
        <v>156</v>
      </c>
    </row>
    <row r="11" spans="1:3" x14ac:dyDescent="0.35">
      <c r="A11" s="3" t="s">
        <v>157</v>
      </c>
      <c r="B11" s="3" t="s">
        <v>158</v>
      </c>
      <c r="C11" s="3" t="s">
        <v>159</v>
      </c>
    </row>
    <row r="12" spans="1:3" x14ac:dyDescent="0.35">
      <c r="A12" s="3" t="s">
        <v>160</v>
      </c>
      <c r="B12" s="3" t="s">
        <v>161</v>
      </c>
      <c r="C12" s="3" t="s">
        <v>162</v>
      </c>
    </row>
    <row r="16" spans="1:3" x14ac:dyDescent="0.35">
      <c r="B16" s="19"/>
    </row>
  </sheetData>
  <mergeCells count="2">
    <mergeCell ref="A3:A5"/>
    <mergeCell ref="A6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Tantri Mizhar Arofahidi</dc:creator>
  <cp:lastModifiedBy>Tantri Mizhar Arofahidi</cp:lastModifiedBy>
  <dcterms:created xsi:type="dcterms:W3CDTF">2025-11-22T12:24:43Z</dcterms:created>
  <dcterms:modified xsi:type="dcterms:W3CDTF">2025-11-23T13:13:15Z</dcterms:modified>
</cp:coreProperties>
</file>